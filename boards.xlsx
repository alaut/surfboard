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My Drive\Projects\surfmeta\python\"/>
    </mc:Choice>
  </mc:AlternateContent>
  <xr:revisionPtr revIDLastSave="0" documentId="13_ncr:1_{9E3D0B75-6248-423A-A6DE-B2D59F7CAEA0}" xr6:coauthVersionLast="47" xr6:coauthVersionMax="47" xr10:uidLastSave="{00000000-0000-0000-0000-000000000000}"/>
  <bookViews>
    <workbookView xWindow="-108" yWindow="-108" windowWidth="23256" windowHeight="12576" xr2:uid="{DE3E4F4A-810F-4A29-9500-1C08A63727BF}"/>
  </bookViews>
  <sheets>
    <sheet name="profi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F3" i="1"/>
  <c r="H3" i="1"/>
  <c r="H2" i="1"/>
  <c r="G2" i="1"/>
  <c r="F2" i="1"/>
</calcChain>
</file>

<file path=xl/sharedStrings.xml><?xml version="1.0" encoding="utf-8"?>
<sst xmlns="http://schemas.openxmlformats.org/spreadsheetml/2006/main" count="18" uniqueCount="18">
  <si>
    <t>lx</t>
  </si>
  <si>
    <t>ly</t>
  </si>
  <si>
    <t>lz</t>
  </si>
  <si>
    <t>tw</t>
  </si>
  <si>
    <t>rz1</t>
  </si>
  <si>
    <t>rz2</t>
  </si>
  <si>
    <t>n</t>
  </si>
  <si>
    <t>k</t>
  </si>
  <si>
    <t>center_cut</t>
  </si>
  <si>
    <t>tail_cut</t>
  </si>
  <si>
    <t>name</t>
  </si>
  <si>
    <t>./data/longboard/board</t>
  </si>
  <si>
    <t>./data/shorty/board</t>
  </si>
  <si>
    <t>rx0</t>
  </si>
  <si>
    <t>comments</t>
  </si>
  <si>
    <t>slight front rocker, less in tail, transverse camber</t>
  </si>
  <si>
    <t>sy</t>
  </si>
  <si>
    <t>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</si>
</sst>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625EE-70B0-4B2B-A1E2-476CDC571A98}">
  <dimension ref="A1:O3"/>
  <sheetViews>
    <sheetView tabSelected="1" workbookViewId="0">
      <selection activeCell="N3" sqref="N3"/>
    </sheetView>
  </sheetViews>
  <sheetFormatPr defaultRowHeight="14.4" x14ac:dyDescent="0.3"/>
  <cols>
    <col min="1" max="1" width="20" style="2" bestFit="1" customWidth="1"/>
    <col min="2" max="2" width="5.109375" style="2" bestFit="1" customWidth="1"/>
    <col min="3" max="4" width="5.5546875" style="2" bestFit="1" customWidth="1"/>
    <col min="5" max="5" width="4.5546875" style="2" bestFit="1" customWidth="1"/>
    <col min="6" max="7" width="12.77734375" style="1" bestFit="1" customWidth="1"/>
    <col min="8" max="8" width="12.109375" style="1" bestFit="1" customWidth="1"/>
    <col min="9" max="9" width="4.5546875" style="2" bestFit="1" customWidth="1"/>
    <col min="10" max="10" width="6.44140625" style="2" bestFit="1" customWidth="1"/>
    <col min="11" max="11" width="9.6640625" style="2" bestFit="1" customWidth="1"/>
    <col min="12" max="12" width="6.88671875" style="2" bestFit="1" customWidth="1"/>
    <col min="13" max="13" width="40.109375" style="2" bestFit="1" customWidth="1"/>
    <col min="14" max="16384" width="8.88671875" style="2"/>
  </cols>
  <sheetData>
    <row r="1" spans="1:15" x14ac:dyDescent="0.3">
      <c r="A1" s="2" t="s">
        <v>10</v>
      </c>
      <c r="B1" s="2" t="s">
        <v>1</v>
      </c>
      <c r="C1" s="2" t="s">
        <v>0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13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14</v>
      </c>
      <c r="N1" s="2" t="s">
        <v>16</v>
      </c>
      <c r="O1" s="2" t="s">
        <v>17</v>
      </c>
    </row>
    <row r="2" spans="1:15" x14ac:dyDescent="0.3">
      <c r="A2" s="2" t="s">
        <v>12</v>
      </c>
      <c r="B2" s="2">
        <v>2.5</v>
      </c>
      <c r="C2" s="2">
        <v>19.5</v>
      </c>
      <c r="D2" s="2">
        <v>76</v>
      </c>
      <c r="E2" s="2">
        <v>0.5</v>
      </c>
      <c r="F2" s="1">
        <f>1/(-20*12)</f>
        <v>-4.1666666666666666E-3</v>
      </c>
      <c r="G2" s="1">
        <f>1/(-37*12)</f>
        <v>-2.2522522522522522E-3</v>
      </c>
      <c r="H2" s="1">
        <f>1/(4*12)</f>
        <v>2.0833333333333332E-2</v>
      </c>
      <c r="I2" s="2">
        <v>2</v>
      </c>
      <c r="J2" s="2">
        <v>-0.2</v>
      </c>
      <c r="K2" s="2">
        <v>2.5</v>
      </c>
      <c r="L2" s="2">
        <v>4</v>
      </c>
      <c r="N2" s="2">
        <v>2.75</v>
      </c>
      <c r="O2" s="2">
        <v>1.25</v>
      </c>
    </row>
    <row r="3" spans="1:15" x14ac:dyDescent="0.3">
      <c r="A3" s="2" t="s">
        <v>11</v>
      </c>
      <c r="B3" s="2">
        <v>2.75</v>
      </c>
      <c r="C3" s="2">
        <v>22</v>
      </c>
      <c r="D3" s="2">
        <v>96</v>
      </c>
      <c r="E3" s="2">
        <v>0.5</v>
      </c>
      <c r="F3" s="1">
        <f>1/(-12*50)</f>
        <v>-1.6666666666666668E-3</v>
      </c>
      <c r="G3" s="1">
        <f>1/(-12*100*2)</f>
        <v>-4.1666666666666669E-4</v>
      </c>
      <c r="H3" s="1">
        <f>1/(12*5)</f>
        <v>1.6666666666666666E-2</v>
      </c>
      <c r="I3" s="2">
        <v>3</v>
      </c>
      <c r="J3" s="2">
        <v>0.1</v>
      </c>
      <c r="K3" s="2">
        <v>6</v>
      </c>
      <c r="L3" s="2">
        <v>1</v>
      </c>
      <c r="M3" s="2" t="s">
        <v>15</v>
      </c>
      <c r="N3" s="2">
        <v>2</v>
      </c>
      <c r="O3" s="2">
        <v>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 Laut</dc:creator>
  <cp:lastModifiedBy>Alexander  Laut</cp:lastModifiedBy>
  <dcterms:created xsi:type="dcterms:W3CDTF">2025-04-13T23:14:59Z</dcterms:created>
  <dcterms:modified xsi:type="dcterms:W3CDTF">2025-04-14T01:36:40Z</dcterms:modified>
</cp:coreProperties>
</file>